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okazu.tateishi/Documents/PM/AI-driven-Project-Management-main/案件/横須賀地方隊/"/>
    </mc:Choice>
  </mc:AlternateContent>
  <xr:revisionPtr revIDLastSave="0" documentId="13_ncr:1_{0C9BC2BB-E1B5-2D4F-9968-85ABA1E6CFA1}" xr6:coauthVersionLast="47" xr6:coauthVersionMax="47" xr10:uidLastSave="{00000000-0000-0000-0000-000000000000}"/>
  <bookViews>
    <workbookView xWindow="-31200" yWindow="-21100" windowWidth="38400" windowHeight="19860" activeTab="1" xr2:uid="{EFFAFE3D-F5E4-7145-AD16-DAFC9F1FB8C0}"/>
  </bookViews>
  <sheets>
    <sheet name="提示用" sheetId="10" r:id="rId1"/>
    <sheet name="見積" sheetId="5" r:id="rId2"/>
    <sheet name="工数" sheetId="9" r:id="rId3"/>
    <sheet name="Sheet1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5" l="1"/>
  <c r="G24" i="5"/>
  <c r="G23" i="5"/>
  <c r="G22" i="5"/>
  <c r="F22" i="5"/>
  <c r="F25" i="5" s="1"/>
  <c r="F4" i="5"/>
  <c r="G5" i="5"/>
  <c r="F5" i="5"/>
  <c r="H8" i="9"/>
  <c r="I8" i="9" s="1"/>
  <c r="H9" i="9"/>
  <c r="I9" i="9" s="1"/>
  <c r="H7" i="9"/>
  <c r="F6" i="5"/>
  <c r="G6" i="5"/>
  <c r="G25" i="5" l="1"/>
  <c r="G4" i="5"/>
  <c r="H10" i="9"/>
  <c r="J8" i="9"/>
  <c r="J9" i="9"/>
  <c r="G7" i="5"/>
  <c r="F7" i="5"/>
  <c r="F11" i="5" s="1"/>
  <c r="J7" i="9"/>
  <c r="I7" i="9"/>
  <c r="E7" i="5"/>
  <c r="J10" i="9" l="1"/>
  <c r="J12" i="9" s="1"/>
  <c r="J16" i="9" s="1"/>
  <c r="I10" i="9"/>
  <c r="F10" i="5"/>
  <c r="F9" i="5"/>
  <c r="M10" i="9" l="1"/>
  <c r="M5" i="9"/>
  <c r="O5" i="9" s="1"/>
  <c r="J13" i="9"/>
  <c r="J15" i="9" s="1"/>
  <c r="M8" i="9"/>
  <c r="J14" i="9"/>
  <c r="M11" i="9"/>
  <c r="M9" i="9"/>
  <c r="M6" i="9"/>
  <c r="N6" i="9" s="1"/>
  <c r="M7" i="9"/>
  <c r="N7" i="9" s="1"/>
  <c r="J11" i="5"/>
  <c r="J10" i="5"/>
  <c r="J9" i="5"/>
  <c r="J8" i="5"/>
  <c r="J7" i="5"/>
  <c r="J6" i="5"/>
  <c r="J5" i="5"/>
  <c r="J4" i="5"/>
  <c r="O10" i="9" l="1"/>
  <c r="N10" i="9"/>
  <c r="N8" i="9"/>
  <c r="O8" i="9"/>
  <c r="N5" i="9"/>
  <c r="N9" i="9"/>
  <c r="O9" i="9"/>
  <c r="N11" i="9"/>
  <c r="O11" i="9"/>
  <c r="O6" i="9"/>
  <c r="O7" i="9"/>
  <c r="L4" i="5"/>
  <c r="K4" i="5"/>
  <c r="L5" i="5"/>
  <c r="K5" i="5"/>
  <c r="L6" i="5"/>
  <c r="K6" i="5"/>
  <c r="L7" i="5"/>
  <c r="K7" i="5"/>
  <c r="L8" i="5"/>
  <c r="K8" i="5"/>
  <c r="L9" i="5"/>
  <c r="K9" i="5"/>
  <c r="L10" i="5"/>
  <c r="K10" i="5"/>
  <c r="L11" i="5"/>
  <c r="K11" i="5"/>
  <c r="F12" i="5"/>
</calcChain>
</file>

<file path=xl/sharedStrings.xml><?xml version="1.0" encoding="utf-8"?>
<sst xmlns="http://schemas.openxmlformats.org/spreadsheetml/2006/main" count="116" uniqueCount="77">
  <si>
    <t>役割</t>
  </si>
  <si>
    <t>数量</t>
  </si>
  <si>
    <t>費用</t>
  </si>
  <si>
    <t>ディレクション / 品質管理</t>
  </si>
  <si>
    <t>一式</t>
  </si>
  <si>
    <t>単価計算</t>
  </si>
  <si>
    <t>原価</t>
  </si>
  <si>
    <t>単価 / 月</t>
  </si>
  <si>
    <t>工数計</t>
    <rPh sb="0" eb="2">
      <t>コウスウ</t>
    </rPh>
    <rPh sb="2" eb="3">
      <t>ショウケイ</t>
    </rPh>
    <phoneticPr fontId="1"/>
  </si>
  <si>
    <t>単価</t>
  </si>
  <si>
    <t>費用計</t>
    <rPh sb="0" eb="2">
      <t>ヒヨウ</t>
    </rPh>
    <rPh sb="2" eb="3">
      <t>ケイ</t>
    </rPh>
    <phoneticPr fontId="1"/>
  </si>
  <si>
    <t>粗利率</t>
  </si>
  <si>
    <t>売上（税別）</t>
  </si>
  <si>
    <t>粗利額</t>
  </si>
  <si>
    <t>売上（税込）</t>
  </si>
  <si>
    <t>PM/Director</t>
  </si>
  <si>
    <t>10％という考えもあり</t>
  </si>
  <si>
    <t>Engineer</t>
  </si>
  <si>
    <t>リアルに見える数字</t>
  </si>
  <si>
    <t>月別工数</t>
  </si>
  <si>
    <t>費用合計</t>
  </si>
  <si>
    <t>粗利</t>
    <rPh sb="0" eb="2">
      <t>アラリ</t>
    </rPh>
    <phoneticPr fontId="1"/>
  </si>
  <si>
    <t>原価合計</t>
  </si>
  <si>
    <t>要員</t>
    <phoneticPr fontId="1"/>
  </si>
  <si>
    <t>単価 / 月,日</t>
  </si>
  <si>
    <t>2026年</t>
  </si>
  <si>
    <t>原価計</t>
    <rPh sb="0" eb="2">
      <t>ゲンカ</t>
    </rPh>
    <rPh sb="2" eb="3">
      <t>ショウケイ</t>
    </rPh>
    <phoneticPr fontId="1"/>
  </si>
  <si>
    <t>3月</t>
  </si>
  <si>
    <t>TBD</t>
  </si>
  <si>
    <t>管理責任者</t>
  </si>
  <si>
    <t>費用合計(税抜)</t>
  </si>
  <si>
    <t>(税込)</t>
  </si>
  <si>
    <t>デザイナー</t>
  </si>
  <si>
    <t>デザイナー</t>
    <phoneticPr fontId="1"/>
  </si>
  <si>
    <t>実装</t>
    <rPh sb="0" eb="2">
      <t xml:space="preserve">ジッソウ </t>
    </rPh>
    <phoneticPr fontId="1"/>
  </si>
  <si>
    <t>2月</t>
    <rPh sb="1" eb="2">
      <t xml:space="preserve">ガツ </t>
    </rPh>
    <phoneticPr fontId="1"/>
  </si>
  <si>
    <t>デザイン</t>
    <phoneticPr fontId="1"/>
  </si>
  <si>
    <t>MTG</t>
    <phoneticPr fontId="1"/>
  </si>
  <si>
    <t>下層ページワイヤー</t>
    <rPh sb="0" eb="2">
      <t xml:space="preserve">カソウページ </t>
    </rPh>
    <phoneticPr fontId="1"/>
  </si>
  <si>
    <t>TOPページワイヤー</t>
    <phoneticPr fontId="1"/>
  </si>
  <si>
    <t>実装チェック</t>
    <rPh sb="0" eb="2">
      <t xml:space="preserve">ジッソウチェック </t>
    </rPh>
    <phoneticPr fontId="1"/>
  </si>
  <si>
    <t>ブラウザ確認</t>
    <phoneticPr fontId="1"/>
  </si>
  <si>
    <t>デザインFB</t>
    <phoneticPr fontId="1"/>
  </si>
  <si>
    <t>作業内容</t>
  </si>
  <si>
    <t>作業内容</t>
    <rPh sb="0" eb="4">
      <t xml:space="preserve">サギョウナイヨウ </t>
    </rPh>
    <phoneticPr fontId="1"/>
  </si>
  <si>
    <t>ワイヤーFB</t>
    <phoneticPr fontId="1"/>
  </si>
  <si>
    <t>実装フォロー</t>
    <rPh sb="0" eb="1">
      <t xml:space="preserve">ジッソウ </t>
    </rPh>
    <phoneticPr fontId="1"/>
  </si>
  <si>
    <t>案件名</t>
  </si>
  <si>
    <t>横須賀地方総監部オフィシャルサイト新規制作</t>
  </si>
  <si>
    <t>案件概要</t>
  </si>
  <si>
    <t>海上自衛隊横須賀地方総監部のオフィシャルサイト新規制作（5P）案件です。</t>
  </si>
  <si>
    <t>URL</t>
  </si>
  <si>
    <t>https://www.mod.go.jp/msdf/yokosuka/index.html</t>
  </si>
  <si>
    <t>作業期間</t>
  </si>
  <si>
    <t>契約決定日: 令和8年2月13日（予定）</t>
  </si>
  <si>
    <t>納期: 令和8年3月13日</t>
  </si>
  <si>
    <t>実作業期間: 約1週間</t>
  </si>
  <si>
    <t>【制作ページ（全5ページ）】</t>
  </si>
  <si>
    <t>トップページ（問い合わせフォーム含む）</t>
  </si>
  <si>
    <t>総監の経歴（バイオ）ページ</t>
  </si>
  <si>
    <t>採用情報ページ（PDFリンク）</t>
  </si>
  <si>
    <t>年間行事ページ（写真付き、年度別表示）</t>
  </si>
  <si>
    <t>部隊紹介ページ</t>
  </si>
  <si>
    <t>【技術要件】</t>
  </si>
  <si>
    <t>レスポンシブデザイン（スマートフォン対応必須）</t>
  </si>
  <si>
    <t>CSS/HTMLファイルで納品</t>
  </si>
  <si>
    <t>ブラウザチェック（Chrome、Firefox、Safari、Edge等の主要ブラウザ対応確認）：最新バージョン</t>
  </si>
  <si>
    <t>【制作フロー】</t>
  </si>
  <si>
    <t>官側からデザイン素案の提供を受領</t>
  </si>
  <si>
    <t>版下（レイアウト案）を提示</t>
  </si>
  <si>
    <t>官側の校正を受ける</t>
  </si>
  <si>
    <t>本制作</t>
  </si>
  <si>
    <t>完成検査・受領検査</t>
  </si>
  <si>
    <t>【その他】</t>
  </si>
  <si>
    <t>リモート作業可</t>
  </si>
  <si>
    <t>（ヘッダー等を）下層ページとの整合性を合わせる必要はなし</t>
  </si>
  <si>
    <t>納品後1年間の不具合補償が必要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</si>
</sst>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¥-411]#,##0"/>
    <numFmt numFmtId="177" formatCode="0.00_);[Red]\(0.00\)"/>
    <numFmt numFmtId="178" formatCode="&quot;¥&quot;#,##0_);[Red]\(&quot;¥&quot;#,##0\)"/>
  </numFmts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2"/>
      <charset val="128"/>
    </font>
    <font>
      <b/>
      <sz val="16"/>
      <color theme="1"/>
      <name val="メイリオ"/>
      <family val="2"/>
      <charset val="128"/>
    </font>
    <font>
      <sz val="14"/>
      <color theme="0"/>
      <name val="メイリオ"/>
      <family val="2"/>
      <charset val="128"/>
    </font>
    <font>
      <b/>
      <sz val="14"/>
      <color theme="1"/>
      <name val="メイリオ"/>
      <family val="2"/>
      <charset val="128"/>
    </font>
    <font>
      <sz val="14"/>
      <color rgb="FF000000"/>
      <name val="メイリオ"/>
      <family val="2"/>
      <charset val="128"/>
    </font>
    <font>
      <sz val="14"/>
      <color theme="1" tint="0.14999847407452621"/>
      <name val="メイリオ"/>
      <family val="2"/>
      <charset val="128"/>
    </font>
    <font>
      <b/>
      <sz val="14"/>
      <color theme="1" tint="0.14999847407452621"/>
      <name val="メイリオ"/>
      <family val="2"/>
      <charset val="128"/>
    </font>
    <font>
      <sz val="14"/>
      <color rgb="FFFF0000"/>
      <name val="メイリオ"/>
      <family val="2"/>
      <charset val="128"/>
    </font>
    <font>
      <b/>
      <sz val="14"/>
      <color theme="0"/>
      <name val="メイリオ"/>
      <family val="2"/>
      <charset val="128"/>
    </font>
    <font>
      <sz val="14"/>
      <color theme="1"/>
      <name val="メイリオ"/>
      <family val="2"/>
      <charset val="128"/>
    </font>
    <font>
      <sz val="11"/>
      <color rgb="FF006CBE"/>
      <name val="Consolas"/>
      <family val="2"/>
    </font>
    <font>
      <u/>
      <sz val="12"/>
      <color theme="10"/>
      <name val="游ゴシック"/>
      <family val="2"/>
      <charset val="128"/>
      <scheme val="minor"/>
    </font>
    <font>
      <b/>
      <sz val="14"/>
      <color rgb="FF000000"/>
      <name val="メイリオ"/>
      <family val="2"/>
      <charset val="128"/>
    </font>
    <font>
      <b/>
      <sz val="14"/>
      <color rgb="FF000000"/>
      <name val="メイリオ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theme="4" tint="-0.499984740745262"/>
        <bgColor rgb="FFC9DAF8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10" fontId="5" fillId="0" borderId="1" xfId="0" applyNumberFormat="1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78" fontId="6" fillId="0" borderId="2" xfId="0" applyNumberFormat="1" applyFont="1" applyBorder="1">
      <alignment vertical="center"/>
    </xf>
    <xf numFmtId="178" fontId="2" fillId="0" borderId="5" xfId="0" applyNumberFormat="1" applyFont="1" applyBorder="1">
      <alignment vertical="center"/>
    </xf>
    <xf numFmtId="178" fontId="5" fillId="0" borderId="6" xfId="0" applyNumberFormat="1" applyFont="1" applyBorder="1" applyAlignment="1">
      <alignment horizontal="right" vertical="center"/>
    </xf>
    <xf numFmtId="178" fontId="5" fillId="0" borderId="3" xfId="0" applyNumberFormat="1" applyFont="1" applyBorder="1">
      <alignment vertical="center"/>
    </xf>
    <xf numFmtId="178" fontId="5" fillId="0" borderId="1" xfId="0" applyNumberFormat="1" applyFont="1" applyBorder="1">
      <alignment vertical="center"/>
    </xf>
    <xf numFmtId="178" fontId="2" fillId="0" borderId="0" xfId="0" applyNumberFormat="1" applyFo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quotePrefix="1" applyFont="1">
      <alignment vertical="center"/>
    </xf>
    <xf numFmtId="0" fontId="5" fillId="4" borderId="6" xfId="0" applyFont="1" applyFill="1" applyBorder="1" applyAlignment="1">
      <alignment horizontal="center" vertical="center" inden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178" fontId="6" fillId="0" borderId="9" xfId="0" applyNumberFormat="1" applyFont="1" applyBorder="1">
      <alignment vertical="center"/>
    </xf>
    <xf numFmtId="177" fontId="6" fillId="0" borderId="9" xfId="0" applyNumberFormat="1" applyFont="1" applyBorder="1">
      <alignment vertical="center"/>
    </xf>
    <xf numFmtId="178" fontId="6" fillId="0" borderId="10" xfId="0" applyNumberFormat="1" applyFont="1" applyBorder="1">
      <alignment vertical="center"/>
    </xf>
    <xf numFmtId="0" fontId="5" fillId="4" borderId="11" xfId="0" applyFont="1" applyFill="1" applyBorder="1" applyAlignment="1">
      <alignment horizontal="center" vertical="center"/>
    </xf>
    <xf numFmtId="177" fontId="2" fillId="0" borderId="12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177" fontId="2" fillId="0" borderId="14" xfId="0" applyNumberFormat="1" applyFont="1" applyBorder="1">
      <alignment vertical="center"/>
    </xf>
    <xf numFmtId="0" fontId="14" fillId="8" borderId="1" xfId="0" applyFont="1" applyFill="1" applyBorder="1" applyAlignment="1">
      <alignment vertical="center" readingOrder="1"/>
    </xf>
    <xf numFmtId="178" fontId="6" fillId="0" borderId="2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>
      <alignment vertical="center"/>
    </xf>
    <xf numFmtId="178" fontId="2" fillId="0" borderId="3" xfId="0" applyNumberFormat="1" applyFont="1" applyBorder="1">
      <alignment vertical="center"/>
    </xf>
    <xf numFmtId="0" fontId="4" fillId="2" borderId="2" xfId="0" applyFont="1" applyFill="1" applyBorder="1">
      <alignment vertical="center"/>
    </xf>
    <xf numFmtId="0" fontId="5" fillId="4" borderId="15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 readingOrder="1"/>
    </xf>
    <xf numFmtId="0" fontId="2" fillId="0" borderId="6" xfId="0" applyFont="1" applyBorder="1">
      <alignment vertical="center"/>
    </xf>
    <xf numFmtId="0" fontId="2" fillId="0" borderId="16" xfId="0" applyFont="1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BFEA-AF44-4346-9B0C-2B5043CE9CC7}">
  <sheetPr>
    <tabColor rgb="FFFF0000"/>
  </sheetPr>
  <dimension ref="B3:D7"/>
  <sheetViews>
    <sheetView workbookViewId="0">
      <selection activeCell="F4" sqref="F4"/>
    </sheetView>
  </sheetViews>
  <sheetFormatPr baseColWidth="10" defaultColWidth="8.7109375" defaultRowHeight="20"/>
  <cols>
    <col min="2" max="2" width="32.5703125" bestFit="1" customWidth="1"/>
    <col min="3" max="3" width="12.28515625" bestFit="1" customWidth="1"/>
    <col min="4" max="4" width="14.42578125" bestFit="1" customWidth="1"/>
  </cols>
  <sheetData>
    <row r="3" spans="2:4" ht="23">
      <c r="B3" s="3" t="s">
        <v>0</v>
      </c>
      <c r="C3" s="17" t="s">
        <v>1</v>
      </c>
      <c r="D3" s="17" t="s">
        <v>2</v>
      </c>
    </row>
    <row r="4" spans="2:4" ht="23">
      <c r="B4" s="43" t="s">
        <v>3</v>
      </c>
      <c r="C4" s="44" t="s">
        <v>4</v>
      </c>
      <c r="D4" s="19">
        <v>780000.00000000012</v>
      </c>
    </row>
    <row r="5" spans="2:4" ht="23">
      <c r="B5" s="50" t="s">
        <v>36</v>
      </c>
      <c r="C5" s="45" t="s">
        <v>4</v>
      </c>
      <c r="D5" s="46">
        <v>480000</v>
      </c>
    </row>
    <row r="6" spans="2:4" ht="23">
      <c r="B6" s="50" t="s">
        <v>34</v>
      </c>
      <c r="C6" s="45" t="s">
        <v>4</v>
      </c>
      <c r="D6" s="46">
        <v>500000</v>
      </c>
    </row>
    <row r="7" spans="2:4" ht="23">
      <c r="D7" s="47">
        <v>1760000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0ADB-3264-4741-BBE4-3E3882337450}">
  <dimension ref="B2:U109"/>
  <sheetViews>
    <sheetView showGridLines="0" tabSelected="1" workbookViewId="0">
      <selection activeCell="C13" sqref="C13"/>
    </sheetView>
  </sheetViews>
  <sheetFormatPr baseColWidth="10" defaultColWidth="11.5703125" defaultRowHeight="19.5" customHeight="1"/>
  <cols>
    <col min="1" max="1" width="3.7109375" style="1" customWidth="1"/>
    <col min="2" max="2" width="21.140625" style="1" customWidth="1"/>
    <col min="3" max="3" width="21.5703125" style="1" customWidth="1"/>
    <col min="4" max="4" width="15.85546875" style="1" customWidth="1"/>
    <col min="5" max="5" width="13.85546875" style="1" customWidth="1"/>
    <col min="6" max="6" width="17.140625" style="18" bestFit="1" customWidth="1"/>
    <col min="7" max="7" width="15.5703125" style="18" customWidth="1"/>
    <col min="8" max="8" width="24.140625" style="18" bestFit="1" customWidth="1"/>
    <col min="9" max="9" width="15.5703125" style="18" bestFit="1" customWidth="1"/>
    <col min="10" max="10" width="17.28515625" style="18" bestFit="1" customWidth="1"/>
    <col min="11" max="11" width="16.42578125" style="18" bestFit="1" customWidth="1"/>
    <col min="12" max="12" width="13.85546875" style="18" customWidth="1"/>
    <col min="13" max="13" width="16.42578125" style="18" customWidth="1"/>
    <col min="14" max="14" width="17.140625" style="1" bestFit="1" customWidth="1"/>
    <col min="15" max="15" width="16.42578125" style="1" bestFit="1" customWidth="1"/>
    <col min="16" max="17" width="18.5703125" style="1" customWidth="1"/>
    <col min="18" max="18" width="8.28515625" style="1" bestFit="1" customWidth="1"/>
    <col min="19" max="19" width="17" style="1" customWidth="1"/>
    <col min="20" max="20" width="18" style="1" customWidth="1"/>
    <col min="21" max="21" width="16.28515625" style="1" customWidth="1"/>
    <col min="22" max="22" width="23.42578125" style="1" customWidth="1"/>
    <col min="23" max="23" width="12.28515625" style="1" bestFit="1" customWidth="1"/>
    <col min="24" max="16384" width="11.5703125" style="1"/>
  </cols>
  <sheetData>
    <row r="2" spans="2:21" ht="32" customHeight="1">
      <c r="B2" s="2" t="s">
        <v>5</v>
      </c>
      <c r="F2" s="1"/>
      <c r="G2" s="1"/>
      <c r="H2" s="1"/>
      <c r="I2" s="1"/>
      <c r="J2" s="1"/>
      <c r="K2" s="1"/>
      <c r="L2" s="1"/>
      <c r="M2" s="1"/>
    </row>
    <row r="3" spans="2:21" ht="23">
      <c r="B3" s="3" t="s">
        <v>0</v>
      </c>
      <c r="C3" s="3" t="s">
        <v>6</v>
      </c>
      <c r="D3" s="3" t="s">
        <v>7</v>
      </c>
      <c r="E3" s="17" t="s">
        <v>8</v>
      </c>
      <c r="F3" s="17" t="s">
        <v>9</v>
      </c>
      <c r="G3" s="17" t="s">
        <v>10</v>
      </c>
      <c r="H3" s="1"/>
      <c r="I3" s="10" t="s">
        <v>11</v>
      </c>
      <c r="J3" s="10" t="s">
        <v>12</v>
      </c>
      <c r="K3" s="10" t="s">
        <v>13</v>
      </c>
      <c r="L3" s="10" t="s">
        <v>14</v>
      </c>
      <c r="M3" s="1"/>
    </row>
    <row r="4" spans="2:21" ht="24" thickBot="1">
      <c r="B4" s="5" t="s">
        <v>15</v>
      </c>
      <c r="C4" s="35">
        <v>800000</v>
      </c>
      <c r="D4" s="35">
        <v>1300000</v>
      </c>
      <c r="E4" s="36">
        <v>0.60000000000000009</v>
      </c>
      <c r="F4" s="19">
        <f>C4*E4</f>
        <v>480000.00000000006</v>
      </c>
      <c r="G4" s="19">
        <f>D4*E4</f>
        <v>780000.00000000012</v>
      </c>
      <c r="H4" s="1" t="s">
        <v>16</v>
      </c>
      <c r="I4" s="12">
        <v>0.1</v>
      </c>
      <c r="J4" s="13">
        <f>ROUNDUP(F7/(1-I4),-4)</f>
        <v>1160000</v>
      </c>
      <c r="K4" s="14">
        <f>J4-F7</f>
        <v>120000</v>
      </c>
      <c r="L4" s="13">
        <f>J4*1.1</f>
        <v>1276000</v>
      </c>
      <c r="M4" s="1"/>
      <c r="R4" s="26"/>
    </row>
    <row r="5" spans="2:21" ht="24" thickBot="1">
      <c r="B5" s="5" t="s">
        <v>15</v>
      </c>
      <c r="C5" s="35">
        <v>650000</v>
      </c>
      <c r="D5" s="35">
        <v>1200000</v>
      </c>
      <c r="E5" s="36">
        <v>0.4</v>
      </c>
      <c r="F5" s="19">
        <f>C5*E5</f>
        <v>260000</v>
      </c>
      <c r="G5" s="19">
        <f>D5*E5</f>
        <v>480000</v>
      </c>
      <c r="H5" s="1" t="s">
        <v>18</v>
      </c>
      <c r="I5" s="12">
        <v>0.15</v>
      </c>
      <c r="J5" s="13">
        <f>ROUNDUP(F7/(1-I5),-4)</f>
        <v>1230000</v>
      </c>
      <c r="K5" s="14">
        <f>J5-F7</f>
        <v>190000</v>
      </c>
      <c r="L5" s="13">
        <f t="shared" ref="L5:L7" si="0">J5*1.1</f>
        <v>1353000</v>
      </c>
      <c r="M5" s="1"/>
      <c r="Q5" s="28"/>
      <c r="R5" s="26"/>
      <c r="S5" s="27"/>
      <c r="T5" s="27"/>
    </row>
    <row r="6" spans="2:21" ht="21.75" customHeight="1" thickBot="1">
      <c r="B6" s="25" t="s">
        <v>17</v>
      </c>
      <c r="C6" s="35">
        <v>300000</v>
      </c>
      <c r="D6" s="35">
        <v>500000</v>
      </c>
      <c r="E6" s="36">
        <v>1</v>
      </c>
      <c r="F6" s="19">
        <f>C6*E6</f>
        <v>300000</v>
      </c>
      <c r="G6" s="19">
        <f>D6*E6</f>
        <v>500000</v>
      </c>
      <c r="H6" s="1"/>
      <c r="I6" s="12">
        <v>0.2</v>
      </c>
      <c r="J6" s="13">
        <f>ROUNDUP(F7/(1-I6),-4)</f>
        <v>1300000</v>
      </c>
      <c r="K6" s="14">
        <f>J6-F7</f>
        <v>260000</v>
      </c>
      <c r="L6" s="13">
        <f t="shared" si="0"/>
        <v>1430000</v>
      </c>
      <c r="M6" s="1"/>
      <c r="Q6" s="28"/>
      <c r="R6" s="27"/>
      <c r="S6" s="27"/>
      <c r="T6" s="27"/>
      <c r="U6" s="27"/>
    </row>
    <row r="7" spans="2:21" ht="21.75" customHeight="1" thickTop="1">
      <c r="D7" s="41" t="s">
        <v>19</v>
      </c>
      <c r="E7" s="42">
        <f>SUM(E4:E6)</f>
        <v>2</v>
      </c>
      <c r="F7" s="20">
        <f>SUM(F4:F6)</f>
        <v>1040000</v>
      </c>
      <c r="G7" s="20">
        <f>SUM(G4:G6)</f>
        <v>1760000</v>
      </c>
      <c r="H7" s="1"/>
      <c r="I7" s="12">
        <v>0.25</v>
      </c>
      <c r="J7" s="13">
        <f>ROUNDUP(F7/(1-I7),-4)</f>
        <v>1390000</v>
      </c>
      <c r="K7" s="14">
        <f>J7-F7</f>
        <v>350000</v>
      </c>
      <c r="L7" s="13">
        <f t="shared" si="0"/>
        <v>1529000.0000000002</v>
      </c>
      <c r="M7" s="1"/>
      <c r="Q7" s="28"/>
      <c r="R7" s="27"/>
      <c r="S7" s="27"/>
      <c r="T7" s="27"/>
      <c r="U7" s="27"/>
    </row>
    <row r="8" spans="2:21" ht="22" customHeight="1">
      <c r="F8" s="1"/>
      <c r="G8" s="1"/>
      <c r="H8" s="1"/>
      <c r="I8" s="12">
        <v>0.3</v>
      </c>
      <c r="J8" s="13">
        <f>ROUNDUP(F7/(1-I8),-4)</f>
        <v>1490000</v>
      </c>
      <c r="K8" s="14">
        <f>J8-F7</f>
        <v>450000</v>
      </c>
      <c r="L8" s="13">
        <f>J8*1.1</f>
        <v>1639000.0000000002</v>
      </c>
      <c r="M8" s="1"/>
      <c r="Q8" s="28"/>
      <c r="R8" s="27"/>
      <c r="S8" s="27"/>
      <c r="T8" s="27"/>
      <c r="U8" s="27"/>
    </row>
    <row r="9" spans="2:21" ht="21.75" customHeight="1">
      <c r="E9" s="29" t="s">
        <v>20</v>
      </c>
      <c r="F9" s="21">
        <f>G7</f>
        <v>1760000</v>
      </c>
      <c r="G9" s="1"/>
      <c r="H9" s="1"/>
      <c r="I9" s="12">
        <v>0.35</v>
      </c>
      <c r="J9" s="13">
        <f>ROUNDUP(F7/(1-I9),-4)</f>
        <v>1600000</v>
      </c>
      <c r="K9" s="14">
        <f>J9-F7</f>
        <v>560000</v>
      </c>
      <c r="L9" s="13">
        <f>J9*1.1</f>
        <v>1760000.0000000002</v>
      </c>
      <c r="M9" s="1"/>
      <c r="Q9" s="28"/>
      <c r="R9" s="27"/>
      <c r="S9" s="27"/>
      <c r="T9" s="27"/>
      <c r="U9" s="27"/>
    </row>
    <row r="10" spans="2:21" ht="19.5" customHeight="1">
      <c r="B10" s="9"/>
      <c r="E10" s="30" t="s">
        <v>21</v>
      </c>
      <c r="F10" s="22">
        <f>G7-F7</f>
        <v>720000</v>
      </c>
      <c r="G10" s="1"/>
      <c r="H10" s="1"/>
      <c r="I10" s="12">
        <v>0.4</v>
      </c>
      <c r="J10" s="13">
        <f>ROUNDUP(F7/(1-I10),-4)</f>
        <v>1740000</v>
      </c>
      <c r="K10" s="14">
        <f>J10-F7</f>
        <v>700000</v>
      </c>
      <c r="L10" s="13">
        <f>J10*1.1</f>
        <v>1914000.0000000002</v>
      </c>
      <c r="M10" s="1"/>
      <c r="Q10" s="28"/>
      <c r="R10" s="27"/>
      <c r="S10" s="27"/>
      <c r="T10" s="27"/>
      <c r="U10" s="27"/>
    </row>
    <row r="11" spans="2:21" ht="21.75" customHeight="1">
      <c r="D11" s="15"/>
      <c r="E11" s="31" t="s">
        <v>22</v>
      </c>
      <c r="F11" s="23">
        <f>F7</f>
        <v>1040000</v>
      </c>
      <c r="G11" s="1"/>
      <c r="H11" s="1"/>
      <c r="I11" s="12">
        <v>0.45</v>
      </c>
      <c r="J11" s="13">
        <f>ROUNDUP(F7/(1-I11),-4)</f>
        <v>1900000</v>
      </c>
      <c r="K11" s="14">
        <f>J11-F7</f>
        <v>860000</v>
      </c>
      <c r="L11" s="13">
        <f>J11*1.1</f>
        <v>2090000.0000000002</v>
      </c>
      <c r="M11" s="1"/>
      <c r="Q11" s="28"/>
      <c r="R11" s="27"/>
      <c r="S11" s="27"/>
      <c r="T11" s="27"/>
      <c r="U11" s="27"/>
    </row>
    <row r="12" spans="2:21" ht="29" customHeight="1">
      <c r="D12" s="15"/>
      <c r="E12" s="31" t="s">
        <v>11</v>
      </c>
      <c r="F12" s="16">
        <f>F10/F9</f>
        <v>0.40909090909090912</v>
      </c>
      <c r="G12" s="15"/>
      <c r="H12" s="15"/>
      <c r="I12" s="1"/>
      <c r="J12" s="8"/>
      <c r="K12" s="6"/>
      <c r="L12" s="6"/>
      <c r="M12" s="4"/>
      <c r="O12" s="6"/>
    </row>
    <row r="13" spans="2:21" ht="29" customHeight="1">
      <c r="F13" s="1"/>
      <c r="G13" s="1"/>
      <c r="H13" s="1"/>
      <c r="I13" s="1"/>
      <c r="J13" s="7"/>
      <c r="K13" s="1"/>
      <c r="L13" s="1"/>
      <c r="M13" s="1"/>
    </row>
    <row r="14" spans="2:21" ht="24" customHeight="1">
      <c r="F14" s="1"/>
      <c r="G14" s="1"/>
      <c r="H14" s="1"/>
      <c r="I14" s="1"/>
      <c r="J14" s="7"/>
      <c r="K14" s="1"/>
      <c r="L14" s="1"/>
      <c r="M14" s="1"/>
    </row>
    <row r="15" spans="2:21" ht="24" customHeight="1">
      <c r="F15" s="1"/>
      <c r="G15" s="1"/>
      <c r="H15" s="1"/>
      <c r="I15" s="1"/>
      <c r="J15" s="7"/>
      <c r="K15" s="1"/>
      <c r="L15" s="1"/>
      <c r="M15" s="1"/>
    </row>
    <row r="16" spans="2:21" ht="19.5" customHeight="1">
      <c r="F16" s="1"/>
      <c r="G16" s="1"/>
      <c r="H16" s="1"/>
      <c r="I16" s="1"/>
      <c r="J16" s="1"/>
      <c r="K16" s="1"/>
      <c r="L16" s="1"/>
      <c r="M16" s="1"/>
    </row>
    <row r="17" spans="2:7" s="1" customFormat="1" ht="19.5" customHeight="1"/>
    <row r="18" spans="2:7" s="1" customFormat="1" ht="19.5" customHeight="1"/>
    <row r="19" spans="2:7" s="1" customFormat="1" ht="19.5" customHeight="1"/>
    <row r="20" spans="2:7" s="1" customFormat="1" ht="19.5" customHeight="1"/>
    <row r="21" spans="2:7" s="1" customFormat="1" ht="19.5" customHeight="1" thickBot="1">
      <c r="B21" s="3" t="s">
        <v>0</v>
      </c>
      <c r="C21" s="3" t="s">
        <v>6</v>
      </c>
      <c r="D21" s="3" t="s">
        <v>7</v>
      </c>
      <c r="E21" s="17" t="s">
        <v>8</v>
      </c>
      <c r="F21" s="17" t="s">
        <v>9</v>
      </c>
      <c r="G21" s="17" t="s">
        <v>10</v>
      </c>
    </row>
    <row r="22" spans="2:7" s="1" customFormat="1" ht="19.5" customHeight="1" thickBot="1">
      <c r="B22" s="5" t="s">
        <v>15</v>
      </c>
      <c r="C22" s="35">
        <v>800000</v>
      </c>
      <c r="D22" s="35">
        <v>1300000</v>
      </c>
      <c r="E22" s="36">
        <v>0.2</v>
      </c>
      <c r="F22" s="19">
        <f>C22*E22</f>
        <v>160000</v>
      </c>
      <c r="G22" s="19">
        <f>D22*E22</f>
        <v>260000</v>
      </c>
    </row>
    <row r="23" spans="2:7" s="1" customFormat="1" ht="19.5" customHeight="1" thickBot="1">
      <c r="B23" s="5" t="s">
        <v>15</v>
      </c>
      <c r="C23" s="35"/>
      <c r="D23" s="35"/>
      <c r="E23" s="36"/>
      <c r="F23" s="19"/>
      <c r="G23" s="19">
        <f>D23*E23</f>
        <v>0</v>
      </c>
    </row>
    <row r="24" spans="2:7" s="1" customFormat="1" ht="19.5" customHeight="1" thickBot="1">
      <c r="B24" s="25" t="s">
        <v>17</v>
      </c>
      <c r="C24" s="35"/>
      <c r="D24" s="35"/>
      <c r="E24" s="36"/>
      <c r="F24" s="19"/>
      <c r="G24" s="19">
        <f>D24*E24</f>
        <v>0</v>
      </c>
    </row>
    <row r="25" spans="2:7" s="1" customFormat="1" ht="19.5" customHeight="1" thickTop="1">
      <c r="D25" s="41" t="s">
        <v>19</v>
      </c>
      <c r="E25" s="42">
        <f>SUM(E22:E24)</f>
        <v>0.2</v>
      </c>
      <c r="F25" s="20">
        <f>SUM(F22:F24)</f>
        <v>160000</v>
      </c>
      <c r="G25" s="20">
        <f>SUM(G22:G24)</f>
        <v>260000</v>
      </c>
    </row>
    <row r="26" spans="2:7" s="1" customFormat="1" ht="19.5" customHeight="1"/>
    <row r="27" spans="2:7" s="1" customFormat="1" ht="19.5" customHeight="1"/>
    <row r="28" spans="2:7" s="1" customFormat="1" ht="19.5" customHeight="1"/>
    <row r="29" spans="2:7" s="1" customFormat="1" ht="19.5" customHeight="1"/>
    <row r="30" spans="2:7" s="1" customFormat="1" ht="19.5" customHeight="1"/>
    <row r="31" spans="2:7" s="1" customFormat="1" ht="19.5" customHeight="1"/>
    <row r="32" spans="2:7" s="1" customFormat="1" ht="19.5" customHeight="1"/>
    <row r="33" s="1" customFormat="1" ht="19.5" customHeight="1"/>
    <row r="34" s="1" customFormat="1" ht="19.5" customHeight="1"/>
    <row r="35" s="1" customFormat="1" ht="19.5" customHeight="1"/>
    <row r="36" s="1" customFormat="1" ht="19.5" customHeight="1"/>
    <row r="37" s="1" customFormat="1" ht="19.5" customHeight="1"/>
    <row r="38" s="1" customFormat="1" ht="19.5" customHeight="1"/>
    <row r="39" s="1" customFormat="1" ht="19.5" customHeight="1"/>
    <row r="40" s="1" customFormat="1" ht="19.5" customHeight="1"/>
    <row r="41" s="1" customFormat="1" ht="19.5" customHeight="1"/>
    <row r="42" s="1" customFormat="1" ht="19.5" customHeight="1"/>
    <row r="43" s="1" customFormat="1" ht="19.5" customHeight="1"/>
    <row r="44" s="1" customFormat="1" ht="19.5" customHeight="1"/>
    <row r="45" s="1" customFormat="1" ht="19.5" customHeight="1"/>
    <row r="46" s="1" customFormat="1" ht="19.5" customHeight="1"/>
    <row r="47" s="1" customFormat="1" ht="19.5" customHeight="1"/>
    <row r="48" s="1" customFormat="1" ht="19.5" customHeight="1"/>
    <row r="49" s="1" customFormat="1" ht="19.5" customHeight="1"/>
    <row r="50" s="1" customFormat="1" ht="19.5" customHeight="1"/>
    <row r="51" s="1" customFormat="1" ht="19.5" customHeight="1"/>
    <row r="52" s="1" customFormat="1" ht="19.5" customHeight="1"/>
    <row r="53" s="1" customFormat="1" ht="19.5" customHeight="1"/>
    <row r="54" s="1" customFormat="1" ht="19.5" customHeight="1"/>
    <row r="55" s="1" customFormat="1" ht="19.5" customHeight="1"/>
    <row r="56" s="1" customFormat="1" ht="19.5" customHeight="1"/>
    <row r="57" s="1" customFormat="1" ht="19.5" customHeight="1"/>
    <row r="58" s="1" customFormat="1" ht="19.5" customHeight="1"/>
    <row r="59" s="1" customFormat="1" ht="19.5" customHeight="1"/>
    <row r="60" s="1" customFormat="1" ht="19.5" customHeight="1"/>
    <row r="61" s="1" customFormat="1" ht="19.5" customHeight="1"/>
    <row r="62" s="1" customFormat="1" ht="19.5" customHeight="1"/>
    <row r="63" s="1" customFormat="1" ht="19.5" customHeight="1"/>
    <row r="64" s="1" customFormat="1" ht="19.5" customHeight="1"/>
    <row r="65" s="1" customFormat="1" ht="19.5" customHeight="1"/>
    <row r="66" s="1" customFormat="1" ht="19.5" customHeight="1"/>
    <row r="67" s="1" customFormat="1" ht="19.5" customHeight="1"/>
    <row r="68" s="1" customFormat="1" ht="19.5" customHeight="1"/>
    <row r="69" s="1" customFormat="1" ht="19.5" customHeight="1"/>
    <row r="70" s="1" customFormat="1" ht="19.5" customHeight="1"/>
    <row r="71" s="1" customFormat="1" ht="19.5" customHeight="1"/>
    <row r="72" s="1" customFormat="1" ht="19.5" customHeight="1"/>
    <row r="73" s="1" customFormat="1" ht="19.5" customHeight="1"/>
    <row r="74" s="1" customFormat="1" ht="19.5" customHeight="1"/>
    <row r="75" s="1" customFormat="1" ht="19.5" customHeight="1"/>
    <row r="76" s="1" customFormat="1" ht="19.5" customHeight="1"/>
    <row r="77" s="1" customFormat="1" ht="19.5" customHeight="1"/>
    <row r="78" s="1" customFormat="1" ht="19.5" customHeight="1"/>
    <row r="79" s="1" customFormat="1" ht="19.5" customHeight="1"/>
    <row r="80" s="1" customFormat="1" ht="19.5" customHeight="1"/>
    <row r="81" s="1" customFormat="1" ht="19.5" customHeight="1"/>
    <row r="82" s="1" customFormat="1" ht="19.5" customHeight="1"/>
    <row r="83" s="1" customFormat="1" ht="19.5" customHeight="1"/>
    <row r="84" s="1" customFormat="1" ht="19.5" customHeight="1"/>
    <row r="85" s="1" customFormat="1" ht="19.5" customHeight="1"/>
    <row r="86" s="1" customFormat="1" ht="19.5" customHeight="1"/>
    <row r="87" s="1" customFormat="1" ht="19.5" customHeight="1"/>
    <row r="88" s="1" customFormat="1" ht="19.5" customHeight="1"/>
    <row r="89" s="1" customFormat="1" ht="19.5" customHeight="1"/>
    <row r="90" s="1" customFormat="1" ht="19.5" customHeight="1"/>
    <row r="91" s="1" customFormat="1" ht="19.5" customHeight="1"/>
    <row r="92" s="1" customFormat="1" ht="19.5" customHeight="1"/>
    <row r="93" s="1" customFormat="1" ht="19.5" customHeight="1"/>
    <row r="94" s="1" customFormat="1" ht="19.5" customHeight="1"/>
    <row r="95" s="1" customFormat="1" ht="19.5" customHeight="1"/>
    <row r="96" s="1" customFormat="1" ht="19.5" customHeight="1"/>
    <row r="97" s="1" customFormat="1" ht="19.5" customHeight="1"/>
    <row r="98" s="1" customFormat="1" ht="19.5" customHeight="1"/>
    <row r="99" s="1" customFormat="1" ht="19.5" customHeight="1"/>
    <row r="100" s="1" customFormat="1" ht="19.5" customHeight="1"/>
    <row r="101" s="1" customFormat="1" ht="19.5" customHeight="1"/>
    <row r="102" s="1" customFormat="1" ht="19.5" customHeight="1"/>
    <row r="103" s="1" customFormat="1" ht="19.5" customHeight="1"/>
    <row r="104" s="1" customFormat="1" ht="19.5" customHeight="1"/>
    <row r="105" s="1" customFormat="1" ht="19.5" customHeight="1"/>
    <row r="106" s="1" customFormat="1" ht="19.5" customHeight="1"/>
    <row r="107" s="1" customFormat="1" ht="19.5" customHeight="1"/>
    <row r="108" s="1" customFormat="1" ht="19.5" customHeight="1"/>
    <row r="109" s="1" customFormat="1" ht="19.5" customHeight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685A-0B46-41A9-AF67-C5940DA57554}">
  <dimension ref="B2:T99"/>
  <sheetViews>
    <sheetView workbookViewId="0">
      <selection activeCell="C28" sqref="C28:E29"/>
    </sheetView>
  </sheetViews>
  <sheetFormatPr baseColWidth="10" defaultColWidth="11.5703125" defaultRowHeight="19.5" customHeight="1"/>
  <cols>
    <col min="1" max="1" width="3.7109375" style="1" customWidth="1"/>
    <col min="2" max="2" width="11.28515625" style="1" bestFit="1" customWidth="1"/>
    <col min="3" max="3" width="33.42578125" style="1" bestFit="1" customWidth="1"/>
    <col min="4" max="4" width="15.85546875" style="1" customWidth="1"/>
    <col min="5" max="5" width="17.85546875" style="1" customWidth="1"/>
    <col min="6" max="7" width="11.140625" style="1" customWidth="1"/>
    <col min="8" max="8" width="8" style="1" bestFit="1" customWidth="1"/>
    <col min="9" max="9" width="18.28515625" style="1" customWidth="1"/>
    <col min="10" max="10" width="16.42578125" style="1" customWidth="1"/>
    <col min="11" max="11" width="12.5703125" style="1" customWidth="1"/>
    <col min="12" max="12" width="9.7109375" style="1" bestFit="1" customWidth="1"/>
    <col min="13" max="14" width="18.5703125" style="1" customWidth="1"/>
    <col min="15" max="15" width="15" style="1" bestFit="1" customWidth="1"/>
    <col min="16" max="16" width="17" style="1" customWidth="1"/>
    <col min="17" max="17" width="18" style="1" customWidth="1"/>
    <col min="18" max="18" width="16.28515625" style="1" customWidth="1"/>
    <col min="19" max="19" width="23.42578125" style="1" customWidth="1"/>
    <col min="20" max="20" width="12.28515625" style="1" bestFit="1" customWidth="1"/>
    <col min="21" max="16384" width="11.5703125" style="1"/>
  </cols>
  <sheetData>
    <row r="2" spans="2:20" ht="24.75" customHeight="1">
      <c r="B2" s="2"/>
    </row>
    <row r="3" spans="2:20" ht="24.75" customHeight="1">
      <c r="B3" s="2" t="s">
        <v>5</v>
      </c>
    </row>
    <row r="4" spans="2:20" ht="22.5" customHeight="1">
      <c r="B4" s="62" t="s">
        <v>23</v>
      </c>
      <c r="C4" s="62" t="s">
        <v>0</v>
      </c>
      <c r="D4" s="64" t="s">
        <v>6</v>
      </c>
      <c r="E4" s="64" t="s">
        <v>24</v>
      </c>
      <c r="F4" s="3" t="s">
        <v>25</v>
      </c>
      <c r="G4" s="3"/>
      <c r="H4" s="17" t="s">
        <v>8</v>
      </c>
      <c r="I4" s="62" t="s">
        <v>26</v>
      </c>
      <c r="J4" s="62" t="s">
        <v>10</v>
      </c>
      <c r="L4" s="10" t="s">
        <v>11</v>
      </c>
      <c r="M4" s="10" t="s">
        <v>12</v>
      </c>
      <c r="N4" s="10" t="s">
        <v>13</v>
      </c>
      <c r="O4" s="10" t="s">
        <v>14</v>
      </c>
    </row>
    <row r="5" spans="2:20" ht="22.5" customHeight="1">
      <c r="B5" s="63"/>
      <c r="C5" s="63"/>
      <c r="D5" s="64"/>
      <c r="E5" s="64"/>
      <c r="F5" s="3" t="s">
        <v>35</v>
      </c>
      <c r="G5" s="3" t="s">
        <v>27</v>
      </c>
      <c r="H5" s="32"/>
      <c r="I5" s="63"/>
      <c r="J5" s="63"/>
      <c r="L5" s="12">
        <v>0.1</v>
      </c>
      <c r="M5" s="13">
        <f>ROUNDUP(I10/(1-L5),-4)</f>
        <v>1160000</v>
      </c>
      <c r="N5" s="14">
        <f>M5-I10</f>
        <v>120000</v>
      </c>
      <c r="O5" s="13">
        <f>M5*1.1</f>
        <v>1276000</v>
      </c>
    </row>
    <row r="6" spans="2:20" ht="22.5" customHeight="1" thickBot="1">
      <c r="B6" s="63"/>
      <c r="C6" s="63"/>
      <c r="D6" s="62"/>
      <c r="E6" s="65"/>
      <c r="F6" s="48"/>
      <c r="G6" s="48"/>
      <c r="H6" s="32"/>
      <c r="I6" s="63"/>
      <c r="J6" s="63"/>
      <c r="L6" s="12">
        <v>0.15</v>
      </c>
      <c r="M6" s="13">
        <f>ROUNDUP(I10/(1-L6),-4)</f>
        <v>1230000</v>
      </c>
      <c r="N6" s="14">
        <f>M6-I10</f>
        <v>190000</v>
      </c>
      <c r="O6" s="13">
        <f t="shared" ref="O6:O7" si="0">M6*1.1</f>
        <v>1353000</v>
      </c>
    </row>
    <row r="7" spans="2:20" ht="22.5" customHeight="1" thickBot="1">
      <c r="B7" s="33" t="s">
        <v>28</v>
      </c>
      <c r="C7" s="34" t="s">
        <v>29</v>
      </c>
      <c r="D7" s="35">
        <v>800000</v>
      </c>
      <c r="E7" s="35">
        <v>1300000</v>
      </c>
      <c r="F7" s="36">
        <v>0.4</v>
      </c>
      <c r="G7" s="36">
        <v>0.2</v>
      </c>
      <c r="H7" s="36">
        <f>SUM(F7:G7)</f>
        <v>0.60000000000000009</v>
      </c>
      <c r="I7" s="35">
        <f>D7*H7</f>
        <v>480000.00000000006</v>
      </c>
      <c r="J7" s="37">
        <f>E7*H7</f>
        <v>780000.00000000012</v>
      </c>
      <c r="L7" s="12">
        <v>0.2</v>
      </c>
      <c r="M7" s="13">
        <f>ROUNDUP(I10/(1-L7),-4)</f>
        <v>1300000</v>
      </c>
      <c r="N7" s="14">
        <f>M7-I10</f>
        <v>260000</v>
      </c>
      <c r="O7" s="13">
        <f t="shared" si="0"/>
        <v>1430000</v>
      </c>
    </row>
    <row r="8" spans="2:20" ht="22.5" customHeight="1" thickBot="1">
      <c r="B8" s="33" t="s">
        <v>28</v>
      </c>
      <c r="C8" s="34" t="s">
        <v>33</v>
      </c>
      <c r="D8" s="35">
        <v>650000</v>
      </c>
      <c r="E8" s="35">
        <v>1200000</v>
      </c>
      <c r="F8" s="36">
        <v>0.3</v>
      </c>
      <c r="G8" s="36">
        <v>0.1</v>
      </c>
      <c r="H8" s="36">
        <f>SUM(F8:G8)</f>
        <v>0.4</v>
      </c>
      <c r="I8" s="35">
        <f>D8*H8</f>
        <v>260000</v>
      </c>
      <c r="J8" s="37">
        <f>E8*H8</f>
        <v>480000</v>
      </c>
      <c r="L8" s="12">
        <v>0.3</v>
      </c>
      <c r="M8" s="13">
        <f>ROUNDUP(I10/(1-L8),-4)</f>
        <v>1490000</v>
      </c>
      <c r="N8" s="14">
        <f>M8-I10</f>
        <v>450000</v>
      </c>
      <c r="O8" s="13">
        <f t="shared" ref="O8:O10" si="1">M8*1.1</f>
        <v>1639000.0000000002</v>
      </c>
    </row>
    <row r="9" spans="2:20" ht="22.5" customHeight="1" thickBot="1">
      <c r="B9" s="33" t="s">
        <v>28</v>
      </c>
      <c r="C9" s="34" t="s">
        <v>34</v>
      </c>
      <c r="D9" s="35">
        <v>300000</v>
      </c>
      <c r="E9" s="35">
        <v>500000</v>
      </c>
      <c r="F9" s="36"/>
      <c r="G9" s="36">
        <v>1</v>
      </c>
      <c r="H9" s="36">
        <f>SUM(F9:G9)</f>
        <v>1</v>
      </c>
      <c r="I9" s="35">
        <f>D9*H9</f>
        <v>300000</v>
      </c>
      <c r="J9" s="37">
        <f>E9*H9</f>
        <v>500000</v>
      </c>
      <c r="L9" s="12">
        <v>0.35</v>
      </c>
      <c r="M9" s="13">
        <f>ROUNDUP(I10/(1-L9),-4)</f>
        <v>1600000</v>
      </c>
      <c r="N9" s="14">
        <f>M9-I10</f>
        <v>560000</v>
      </c>
      <c r="O9" s="13">
        <f t="shared" si="1"/>
        <v>1760000.0000000002</v>
      </c>
    </row>
    <row r="10" spans="2:20" ht="22.5" customHeight="1" thickBot="1">
      <c r="E10" s="38" t="s">
        <v>19</v>
      </c>
      <c r="F10" s="49"/>
      <c r="G10" s="49"/>
      <c r="H10" s="39">
        <f>SUM(H8:H9)</f>
        <v>1.4</v>
      </c>
      <c r="I10" s="40">
        <f>SUM(I7:I9)</f>
        <v>1040000</v>
      </c>
      <c r="J10" s="40">
        <f>SUM(J7:J9)</f>
        <v>1760000</v>
      </c>
      <c r="L10" s="12">
        <v>0.4</v>
      </c>
      <c r="M10" s="13">
        <f>ROUNDUP(I10/(1-L10),-4)</f>
        <v>1740000</v>
      </c>
      <c r="N10" s="14">
        <f>M10-I8</f>
        <v>1480000</v>
      </c>
      <c r="O10" s="13">
        <f t="shared" si="1"/>
        <v>1914000.0000000002</v>
      </c>
    </row>
    <row r="11" spans="2:20" ht="22.5" customHeight="1">
      <c r="L11" s="12">
        <v>0.45</v>
      </c>
      <c r="M11" s="13">
        <f>ROUNDUP(I10/(1-L11),-4)</f>
        <v>1900000</v>
      </c>
      <c r="N11" s="14">
        <f>M11-I9</f>
        <v>1600000</v>
      </c>
      <c r="O11" s="13">
        <f t="shared" ref="O11" si="2">M11*1.1</f>
        <v>2090000.0000000002</v>
      </c>
      <c r="P11" s="6"/>
      <c r="Q11" s="6"/>
      <c r="R11" s="4"/>
      <c r="T11" s="6"/>
    </row>
    <row r="12" spans="2:20" ht="22.5" customHeight="1">
      <c r="H12" s="15"/>
      <c r="I12" s="29" t="s">
        <v>30</v>
      </c>
      <c r="J12" s="21">
        <f>J10</f>
        <v>1760000</v>
      </c>
      <c r="O12" s="7"/>
    </row>
    <row r="13" spans="2:20" ht="22.5" customHeight="1">
      <c r="D13" s="24"/>
      <c r="E13" s="24"/>
      <c r="F13" s="24"/>
      <c r="G13" s="24"/>
      <c r="I13" s="30" t="s">
        <v>21</v>
      </c>
      <c r="J13" s="22">
        <f>J10-I10</f>
        <v>720000</v>
      </c>
      <c r="O13" s="7"/>
    </row>
    <row r="14" spans="2:20" ht="22.5" customHeight="1">
      <c r="I14" s="31" t="s">
        <v>22</v>
      </c>
      <c r="J14" s="23">
        <f>I10</f>
        <v>1040000</v>
      </c>
      <c r="K14" s="15"/>
    </row>
    <row r="15" spans="2:20" ht="22.5" customHeight="1">
      <c r="I15" s="31" t="s">
        <v>11</v>
      </c>
      <c r="J15" s="16">
        <f>J13/J12</f>
        <v>0.40909090909090912</v>
      </c>
    </row>
    <row r="16" spans="2:20" ht="22.5" customHeight="1">
      <c r="I16" s="11" t="s">
        <v>31</v>
      </c>
      <c r="J16" s="21">
        <f>J12*1.1</f>
        <v>1936000.0000000002</v>
      </c>
    </row>
    <row r="17" spans="3:5" ht="22.5" customHeight="1"/>
    <row r="18" spans="3:5" ht="22.5" customHeight="1"/>
    <row r="19" spans="3:5" ht="22.5" customHeight="1"/>
    <row r="20" spans="3:5" ht="22.5" customHeight="1" thickBot="1">
      <c r="C20" s="52" t="s">
        <v>44</v>
      </c>
      <c r="D20" s="53" t="s">
        <v>35</v>
      </c>
      <c r="E20" s="53" t="s">
        <v>27</v>
      </c>
    </row>
    <row r="21" spans="3:5" ht="22.5" customHeight="1">
      <c r="C21" s="54" t="s">
        <v>29</v>
      </c>
      <c r="D21" s="55" t="s">
        <v>37</v>
      </c>
      <c r="E21" s="56" t="s">
        <v>37</v>
      </c>
    </row>
    <row r="22" spans="3:5" ht="22.5" customHeight="1">
      <c r="C22" s="57"/>
      <c r="D22" s="51" t="s">
        <v>45</v>
      </c>
      <c r="E22" s="58" t="s">
        <v>40</v>
      </c>
    </row>
    <row r="23" spans="3:5" ht="22.5" customHeight="1">
      <c r="C23" s="57"/>
      <c r="D23" s="51" t="s">
        <v>38</v>
      </c>
      <c r="E23" s="58"/>
    </row>
    <row r="24" spans="3:5" ht="22.5" customHeight="1" thickBot="1">
      <c r="C24" s="59"/>
      <c r="D24" s="60" t="s">
        <v>42</v>
      </c>
      <c r="E24" s="61"/>
    </row>
    <row r="25" spans="3:5" ht="22.5" customHeight="1">
      <c r="C25" s="54" t="s">
        <v>32</v>
      </c>
      <c r="D25" s="55" t="s">
        <v>37</v>
      </c>
      <c r="E25" s="56" t="s">
        <v>46</v>
      </c>
    </row>
    <row r="26" spans="3:5" ht="22.5" customHeight="1">
      <c r="C26" s="57"/>
      <c r="D26" s="51" t="s">
        <v>39</v>
      </c>
      <c r="E26" s="58"/>
    </row>
    <row r="27" spans="3:5" ht="22.5" customHeight="1" thickBot="1">
      <c r="C27" s="59"/>
      <c r="D27" s="60" t="s">
        <v>36</v>
      </c>
      <c r="E27" s="61"/>
    </row>
    <row r="28" spans="3:5" ht="22.5" customHeight="1">
      <c r="C28" s="54" t="s">
        <v>34</v>
      </c>
      <c r="D28" s="55"/>
      <c r="E28" s="56" t="s">
        <v>34</v>
      </c>
    </row>
    <row r="29" spans="3:5" ht="22.5" customHeight="1" thickBot="1">
      <c r="C29" s="59"/>
      <c r="D29" s="60"/>
      <c r="E29" s="61" t="s">
        <v>41</v>
      </c>
    </row>
    <row r="30" spans="3:5" ht="22.5" customHeight="1"/>
    <row r="31" spans="3:5" ht="22.5" customHeight="1"/>
    <row r="32" spans="3:5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</sheetData>
  <mergeCells count="6">
    <mergeCell ref="J4:J6"/>
    <mergeCell ref="B4:B6"/>
    <mergeCell ref="C4:C6"/>
    <mergeCell ref="D4:D6"/>
    <mergeCell ref="E4:E6"/>
    <mergeCell ref="I4:I6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F6AE-24F8-A74F-9C7B-D81FD267D715}">
  <dimension ref="B2:B39"/>
  <sheetViews>
    <sheetView workbookViewId="0">
      <selection activeCell="K19" sqref="K19"/>
    </sheetView>
  </sheetViews>
  <sheetFormatPr baseColWidth="10" defaultRowHeight="20"/>
  <sheetData>
    <row r="2" spans="2:2">
      <c r="B2" t="s">
        <v>47</v>
      </c>
    </row>
    <row r="3" spans="2:2">
      <c r="B3" t="s">
        <v>48</v>
      </c>
    </row>
    <row r="5" spans="2:2">
      <c r="B5" t="s">
        <v>49</v>
      </c>
    </row>
    <row r="6" spans="2:2">
      <c r="B6" t="s">
        <v>50</v>
      </c>
    </row>
    <row r="8" spans="2:2">
      <c r="B8" t="s">
        <v>51</v>
      </c>
    </row>
    <row r="9" spans="2:2">
      <c r="B9" t="s">
        <v>52</v>
      </c>
    </row>
    <row r="11" spans="2:2">
      <c r="B11" t="s">
        <v>53</v>
      </c>
    </row>
    <row r="12" spans="2:2">
      <c r="B12" t="s">
        <v>54</v>
      </c>
    </row>
    <row r="13" spans="2:2">
      <c r="B13" t="s">
        <v>55</v>
      </c>
    </row>
    <row r="14" spans="2:2">
      <c r="B14" t="s">
        <v>56</v>
      </c>
    </row>
    <row r="16" spans="2:2">
      <c r="B16" t="s">
        <v>43</v>
      </c>
    </row>
    <row r="17" spans="2:2">
      <c r="B17" t="s">
        <v>57</v>
      </c>
    </row>
    <row r="18" spans="2:2">
      <c r="B18" t="s">
        <v>58</v>
      </c>
    </row>
    <row r="19" spans="2:2">
      <c r="B19" t="s">
        <v>59</v>
      </c>
    </row>
    <row r="20" spans="2:2">
      <c r="B20" t="s">
        <v>60</v>
      </c>
    </row>
    <row r="21" spans="2:2">
      <c r="B21" t="s">
        <v>61</v>
      </c>
    </row>
    <row r="22" spans="2:2">
      <c r="B22" t="s">
        <v>62</v>
      </c>
    </row>
    <row r="24" spans="2:2">
      <c r="B24" t="s">
        <v>63</v>
      </c>
    </row>
    <row r="25" spans="2:2">
      <c r="B25" t="s">
        <v>64</v>
      </c>
    </row>
    <row r="26" spans="2:2">
      <c r="B26" t="s">
        <v>65</v>
      </c>
    </row>
    <row r="27" spans="2:2">
      <c r="B27" t="s">
        <v>66</v>
      </c>
    </row>
    <row r="29" spans="2:2">
      <c r="B29" t="s">
        <v>67</v>
      </c>
    </row>
    <row r="30" spans="2:2">
      <c r="B30" t="s">
        <v>68</v>
      </c>
    </row>
    <row r="31" spans="2:2">
      <c r="B31" t="s">
        <v>69</v>
      </c>
    </row>
    <row r="32" spans="2:2">
      <c r="B32" t="s">
        <v>70</v>
      </c>
    </row>
    <row r="33" spans="2:2">
      <c r="B33" t="s">
        <v>71</v>
      </c>
    </row>
    <row r="34" spans="2:2">
      <c r="B34" t="s">
        <v>72</v>
      </c>
    </row>
    <row r="36" spans="2:2">
      <c r="B36" t="s">
        <v>73</v>
      </c>
    </row>
    <row r="37" spans="2:2">
      <c r="B37" t="s">
        <v>74</v>
      </c>
    </row>
    <row r="38" spans="2:2">
      <c r="B38" t="s">
        <v>75</v>
      </c>
    </row>
    <row r="39" spans="2:2">
      <c r="B39" t="s">
        <v>76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632764D35F10A4D8B5BB0A810B77478" ma:contentTypeVersion="0" ma:contentTypeDescription="新しいドキュメントを作成します。" ma:contentTypeScope="" ma:versionID="3e6e98fca06f93bbe2242eb56a6cb1c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889ecaaa051264ff38733239b3167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0DB80-65FB-4557-92A9-B01A20B857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820B28-AE76-40C3-92D3-5F8EC4972C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3E80F4-BD31-45CA-8169-0725B6ADD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提示用</vt:lpstr>
      <vt:lpstr>見積</vt:lpstr>
      <vt:lpstr>工数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 仲原 翼</dc:creator>
  <cp:keywords/>
  <dc:description/>
  <cp:lastModifiedBy>立石 智一</cp:lastModifiedBy>
  <cp:revision/>
  <dcterms:created xsi:type="dcterms:W3CDTF">2022-08-01T00:47:17Z</dcterms:created>
  <dcterms:modified xsi:type="dcterms:W3CDTF">2026-01-09T07:35:15Z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0x0101006632764D35F10A4D8B5BB0A810B77478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